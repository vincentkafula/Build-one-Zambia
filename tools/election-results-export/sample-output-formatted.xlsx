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sults" sheetId="2" state="visible" r:id="rId4"/>
  </sheets>
  <definedNames>
    <definedName function="false" hidden="false" localSheetId="1" name="_xlnm.Print_Area" vbProcedure="false">Results!$A$1:$E$16</definedName>
    <definedName function="false" hidden="true" localSheetId="1" name="_xlnm._FilterDatabase" vbProcedure="false">Results!$A$1:$E$16</definedName>
    <definedName function="false" hidden="false" localSheetId="0" name="_xlnm.Print_Area" vbProcedure="false">Summary!$A$1:$D$21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<sst xmlns="http://schemas.openxmlformats.org/spreadsheetml/2006/main" count="50" uniqueCount="34">
  <si>
    <t xml:space="preserve">BOZ ELECTION RESULTS</t>
  </si>
  <si>
    <t xml:space="preserve">Presidential Election Results  |  National</t>
  </si>
  <si>
    <t xml:space="preserve">Generated: 7/6/2026, 8:39:20 PM</t>
  </si>
  <si>
    <t xml:space="preserve">PROJECTED WINNER</t>
  </si>
  <si>
    <t xml:space="preserve">ELECTION STATISTICS</t>
  </si>
  <si>
    <t xml:space="preserve">Registered Voters</t>
  </si>
  <si>
    <t xml:space="preserve">Rejected Ballots</t>
  </si>
  <si>
    <t xml:space="preserve">Valid Votes</t>
  </si>
  <si>
    <t xml:space="preserve">Votes Cast</t>
  </si>
  <si>
    <t xml:space="preserve">Voter Turnout</t>
  </si>
  <si>
    <t xml:space="preserve">Candidates Contesting</t>
  </si>
  <si>
    <t xml:space="preserve">TOP CANDIDATES</t>
  </si>
  <si>
    <t xml:space="preserve">Rank</t>
  </si>
  <si>
    <t xml:space="preserve">Candidate</t>
  </si>
  <si>
    <t xml:space="preserve">Votes</t>
  </si>
  <si>
    <t xml:space="preserve">Share</t>
  </si>
  <si>
    <t xml:space="preserve">Party</t>
  </si>
  <si>
    <t xml:space="preserve">Vote Share (%)</t>
  </si>
  <si>
    <t xml:space="preserve">Candidate bm</t>
  </si>
  <si>
    <t xml:space="preserve">—</t>
  </si>
  <si>
    <t xml:space="preserve">Candidate hh</t>
  </si>
  <si>
    <t xml:space="preserve">Candidate fm</t>
  </si>
  <si>
    <t xml:space="preserve">Candidate hk</t>
  </si>
  <si>
    <t xml:space="preserve">Candidate kbf</t>
  </si>
  <si>
    <t xml:space="preserve">Candidate hkunda</t>
  </si>
  <si>
    <t xml:space="preserve">Candidate xc</t>
  </si>
  <si>
    <t xml:space="preserve">Candidate dp</t>
  </si>
  <si>
    <t xml:space="preserve">Candidate rs2</t>
  </si>
  <si>
    <t xml:space="preserve">Candidate aan</t>
  </si>
  <si>
    <t xml:space="preserve">Candidate gk</t>
  </si>
  <si>
    <t xml:space="preserve">Candidate gmc</t>
  </si>
  <si>
    <t xml:space="preserve">Candidate rs</t>
  </si>
  <si>
    <t xml:space="preserve">Candidate bmush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</si>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</sst>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votes&quot;"/>
    <numFmt numFmtId="166" formatCode="0.00%&quot; of vote&quot;"/>
    <numFmt numFmtId="167" formatCode="#,##0"/>
    <numFmt numFmtId="168" formatCode="0.0%"/>
    <numFmt numFmtId="169" formatCode="0"/>
    <numFmt numFmtId="170" formatCode="0.00%"/>
  </numFmts>
  <fonts count="1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1"/>
      <color rgb="FF595959"/>
      <name val="Arial"/>
      <family val="0"/>
      <charset val="1"/>
    </font>
    <font>
      <sz val="11"/>
      <color rgb="FF1F1F1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C9A227"/>
        <bgColor rgb="FF99CC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6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7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4" fillId="6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4" fillId="7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4" fillId="6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4" fillId="7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5395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62109375" defaultRowHeight="15" zeroHeight="false" outlineLevelRow="0" outlineLevelCol="0"/>
  <cols>
    <col collapsed="false" customWidth="true" hidden="false" outlineLevel="0" max="4" min="1" style="0" width="2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/>
      <c r="C2" s="2"/>
      <c r="D2" s="2"/>
    </row>
    <row r="3" customFormat="false" ht="15.75" hidden="false" customHeight="true" outlineLevel="0" collapsed="false">
      <c r="A3" s="3" t="s">
        <v>2</v>
      </c>
      <c r="B3" s="3"/>
      <c r="C3" s="3"/>
      <c r="D3" s="3"/>
    </row>
    <row r="4" customFormat="false" ht="7.5" hidden="false" customHeight="true" outlineLevel="0" collapsed="false">
      <c r="A4" s="4"/>
      <c r="B4" s="4"/>
    </row>
    <row r="5" customFormat="false" ht="18" hidden="false" customHeight="true" outlineLevel="0" collapsed="false">
      <c r="A5" s="5" t="s">
        <v>3</v>
      </c>
      <c r="B5" s="5"/>
      <c r="C5" s="5"/>
      <c r="D5" s="5"/>
    </row>
    <row r="6" customFormat="false" ht="25.5" hidden="false" customHeight="true" outlineLevel="0" collapsed="false">
      <c r="A6" s="6" t="str">
        <f aca="false">INDEX(Results!B:B,MATCH(1,Results!A:A,0))</f>
        <v>Candidate bm</v>
      </c>
      <c r="B6" s="6"/>
      <c r="C6" s="7" t="n">
        <f aca="false">INDEX(Results!D:D,MATCH(1,Results!A:A,0))</f>
        <v>1558</v>
      </c>
      <c r="D6" s="7"/>
    </row>
    <row r="7" customFormat="false" ht="19.5" hidden="false" customHeight="true" outlineLevel="0" collapsed="false">
      <c r="A7" s="6"/>
      <c r="B7" s="6"/>
      <c r="C7" s="8" t="n">
        <f aca="false">INDEX(Results!E:E,MATCH(1,Results!A:A,0))</f>
        <v>0.527420446851727</v>
      </c>
      <c r="D7" s="8"/>
    </row>
    <row r="8" customFormat="false" ht="7.5" hidden="false" customHeight="true" outlineLevel="0" collapsed="false">
      <c r="A8" s="4"/>
      <c r="B8" s="4"/>
    </row>
    <row r="9" customFormat="false" ht="18" hidden="false" customHeight="true" outlineLevel="0" collapsed="false">
      <c r="A9" s="9" t="s">
        <v>4</v>
      </c>
      <c r="B9" s="9"/>
      <c r="C9" s="9"/>
      <c r="D9" s="9"/>
    </row>
    <row r="10" customFormat="false" ht="19.5" hidden="false" customHeight="true" outlineLevel="0" collapsed="false">
      <c r="A10" s="10" t="s">
        <v>5</v>
      </c>
      <c r="B10" s="10"/>
      <c r="C10" s="11" t="n">
        <v>3460</v>
      </c>
      <c r="D10" s="11"/>
    </row>
    <row r="11" customFormat="false" ht="19.5" hidden="false" customHeight="true" outlineLevel="0" collapsed="false">
      <c r="A11" s="12" t="s">
        <v>6</v>
      </c>
      <c r="B11" s="12"/>
      <c r="C11" s="13" t="n">
        <v>0</v>
      </c>
      <c r="D11" s="13"/>
    </row>
    <row r="12" customFormat="false" ht="19.5" hidden="false" customHeight="true" outlineLevel="0" collapsed="false">
      <c r="A12" s="10" t="s">
        <v>7</v>
      </c>
      <c r="B12" s="10"/>
      <c r="C12" s="14" t="n">
        <f aca="false">Results!$D$16</f>
        <v>2954</v>
      </c>
      <c r="D12" s="14"/>
    </row>
    <row r="13" customFormat="false" ht="19.5" hidden="false" customHeight="true" outlineLevel="0" collapsed="false">
      <c r="A13" s="12" t="s">
        <v>8</v>
      </c>
      <c r="B13" s="12"/>
      <c r="C13" s="15" t="n">
        <f aca="false">C12+C11</f>
        <v>2954</v>
      </c>
      <c r="D13" s="15"/>
    </row>
    <row r="14" customFormat="false" ht="19.5" hidden="false" customHeight="true" outlineLevel="0" collapsed="false">
      <c r="A14" s="10" t="s">
        <v>9</v>
      </c>
      <c r="B14" s="10"/>
      <c r="C14" s="16" t="n">
        <f aca="false">C13/C10</f>
        <v>0.853757225433526</v>
      </c>
      <c r="D14" s="16"/>
    </row>
    <row r="15" customFormat="false" ht="19.5" hidden="false" customHeight="true" outlineLevel="0" collapsed="false">
      <c r="A15" s="12" t="s">
        <v>10</v>
      </c>
      <c r="B15" s="12"/>
      <c r="C15" s="17" t="n">
        <f aca="false">COUNT(Results!A2:A15)</f>
        <v>14</v>
      </c>
      <c r="D15" s="17"/>
    </row>
    <row r="16" customFormat="false" ht="7.5" hidden="false" customHeight="true" outlineLevel="0" collapsed="false">
      <c r="A16" s="4"/>
      <c r="B16" s="4"/>
    </row>
    <row r="17" customFormat="false" ht="18" hidden="false" customHeight="true" outlineLevel="0" collapsed="false">
      <c r="A17" s="9" t="s">
        <v>11</v>
      </c>
      <c r="B17" s="9"/>
      <c r="C17" s="9"/>
      <c r="D17" s="9"/>
    </row>
    <row r="18" customFormat="false" ht="15.75" hidden="false" customHeight="true" outlineLevel="0" collapsed="false">
      <c r="A18" s="18" t="s">
        <v>12</v>
      </c>
      <c r="B18" s="18" t="s">
        <v>13</v>
      </c>
      <c r="C18" s="18" t="s">
        <v>14</v>
      </c>
      <c r="D18" s="18" t="s">
        <v>15</v>
      </c>
    </row>
    <row r="19" customFormat="false" ht="15.75" hidden="false" customHeight="true" outlineLevel="0" collapsed="false">
      <c r="A19" s="19" t="n">
        <v>1</v>
      </c>
      <c r="B19" s="20" t="str">
        <f aca="false">IFERROR(INDEX(Results!B:B,MATCH(1,Results!A:A,0)),"")</f>
        <v>Candidate bm</v>
      </c>
      <c r="C19" s="21" t="n">
        <f aca="false">IFERROR(INDEX(Results!D:D,MATCH(1,Results!A:A,0)),"")</f>
        <v>1558</v>
      </c>
      <c r="D19" s="22" t="n">
        <f aca="false">IFERROR(INDEX(Results!E:E,MATCH(1,Results!A:A,0)),"")</f>
        <v>0.527420446851727</v>
      </c>
    </row>
    <row r="20" customFormat="false" ht="15.75" hidden="false" customHeight="true" outlineLevel="0" collapsed="false">
      <c r="A20" s="23" t="n">
        <v>2</v>
      </c>
      <c r="B20" s="24" t="str">
        <f aca="false">IFERROR(INDEX(Results!B:B,MATCH(2,Results!A:A,0)),"")</f>
        <v>Candidate hh</v>
      </c>
      <c r="C20" s="25" t="n">
        <f aca="false">IFERROR(INDEX(Results!D:D,MATCH(2,Results!A:A,0)),"")</f>
        <v>1101</v>
      </c>
      <c r="D20" s="26" t="n">
        <f aca="false">IFERROR(INDEX(Results!E:E,MATCH(2,Results!A:A,0)),"")</f>
        <v>0.372714962762356</v>
      </c>
    </row>
    <row r="21" customFormat="false" ht="15.75" hidden="false" customHeight="true" outlineLevel="0" collapsed="false">
      <c r="A21" s="19" t="n">
        <v>3</v>
      </c>
      <c r="B21" s="20" t="str">
        <f aca="false">IFERROR(INDEX(Results!B:B,MATCH(3,Results!A:A,0)),"")</f>
        <v>Candidate fm</v>
      </c>
      <c r="C21" s="21" t="n">
        <f aca="false">IFERROR(INDEX(Results!D:D,MATCH(3,Results!A:A,0)),"")</f>
        <v>69</v>
      </c>
      <c r="D21" s="22" t="n">
        <f aca="false">IFERROR(INDEX(Results!E:E,MATCH(3,Results!A:A,0)),"")</f>
        <v>0.0233581584292485</v>
      </c>
    </row>
    <row r="22" customFormat="false" ht="15.75" hidden="false" customHeight="true" outlineLevel="0" collapsed="false">
      <c r="A22" s="4"/>
      <c r="B22" s="4"/>
    </row>
    <row r="23" customFormat="false" ht="15.75" hidden="false" customHeight="true" outlineLevel="0" collapsed="false">
      <c r="A23" s="4"/>
      <c r="B23" s="4"/>
    </row>
    <row r="24" customFormat="false" ht="15.75" hidden="false" customHeight="true" outlineLevel="0" collapsed="false">
      <c r="A24" s="4"/>
      <c r="B24" s="4"/>
    </row>
  </sheetData>
  <mergeCells count="21">
    <mergeCell ref="A1:D1"/>
    <mergeCell ref="A2:D2"/>
    <mergeCell ref="A3:D3"/>
    <mergeCell ref="A5:D5"/>
    <mergeCell ref="A6:B7"/>
    <mergeCell ref="C6:D6"/>
    <mergeCell ref="C7:D7"/>
    <mergeCell ref="A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7:D17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27" t="s">
        <v>12</v>
      </c>
      <c r="B1" s="27" t="s">
        <v>13</v>
      </c>
      <c r="C1" s="27" t="s">
        <v>16</v>
      </c>
      <c r="D1" s="27" t="s">
        <v>14</v>
      </c>
      <c r="E1" s="27" t="s">
        <v>17</v>
      </c>
    </row>
    <row r="2" customFormat="false" ht="15.75" hidden="false" customHeight="true" outlineLevel="0" collapsed="false">
      <c r="A2" s="28" t="n">
        <v>1</v>
      </c>
      <c r="B2" s="29" t="s">
        <v>18</v>
      </c>
      <c r="C2" s="29" t="s">
        <v>19</v>
      </c>
      <c r="D2" s="30" t="n">
        <v>1558</v>
      </c>
      <c r="E2" s="31" t="n">
        <f aca="false">D2/D$16</f>
        <v>0.527420446851727</v>
      </c>
    </row>
    <row r="3" customFormat="false" ht="15.75" hidden="false" customHeight="true" outlineLevel="0" collapsed="false">
      <c r="A3" s="32" t="n">
        <v>2</v>
      </c>
      <c r="B3" s="33" t="s">
        <v>20</v>
      </c>
      <c r="C3" s="33" t="s">
        <v>19</v>
      </c>
      <c r="D3" s="34" t="n">
        <v>1101</v>
      </c>
      <c r="E3" s="35" t="n">
        <f aca="false">D3/D$16</f>
        <v>0.372714962762356</v>
      </c>
    </row>
    <row r="4" customFormat="false" ht="15.75" hidden="false" customHeight="true" outlineLevel="0" collapsed="false">
      <c r="A4" s="36" t="n">
        <v>3</v>
      </c>
      <c r="B4" s="37" t="s">
        <v>21</v>
      </c>
      <c r="C4" s="37" t="s">
        <v>19</v>
      </c>
      <c r="D4" s="38" t="n">
        <v>69</v>
      </c>
      <c r="E4" s="39" t="n">
        <f aca="false">D4/D$16</f>
        <v>0.0233581584292485</v>
      </c>
    </row>
    <row r="5" customFormat="false" ht="15.75" hidden="false" customHeight="true" outlineLevel="0" collapsed="false">
      <c r="A5" s="32" t="n">
        <v>4</v>
      </c>
      <c r="B5" s="33" t="s">
        <v>22</v>
      </c>
      <c r="C5" s="33" t="s">
        <v>19</v>
      </c>
      <c r="D5" s="34" t="n">
        <v>55</v>
      </c>
      <c r="E5" s="35" t="n">
        <f aca="false">D5/D$16</f>
        <v>0.0186188219363575</v>
      </c>
    </row>
    <row r="6" customFormat="false" ht="15.75" hidden="false" customHeight="true" outlineLevel="0" collapsed="false">
      <c r="A6" s="36" t="n">
        <v>5</v>
      </c>
      <c r="B6" s="37" t="s">
        <v>23</v>
      </c>
      <c r="C6" s="37" t="s">
        <v>19</v>
      </c>
      <c r="D6" s="38" t="n">
        <v>25</v>
      </c>
      <c r="E6" s="39" t="n">
        <f aca="false">D6/D$16</f>
        <v>0.00846310088016249</v>
      </c>
    </row>
    <row r="7" customFormat="false" ht="15.75" hidden="false" customHeight="true" outlineLevel="0" collapsed="false">
      <c r="A7" s="32" t="n">
        <v>6</v>
      </c>
      <c r="B7" s="33" t="s">
        <v>24</v>
      </c>
      <c r="C7" s="33" t="s">
        <v>19</v>
      </c>
      <c r="D7" s="34" t="n">
        <v>20</v>
      </c>
      <c r="E7" s="35" t="n">
        <f aca="false">D7/D$16</f>
        <v>0.00677048070412999</v>
      </c>
    </row>
    <row r="8" customFormat="false" ht="15.75" hidden="false" customHeight="true" outlineLevel="0" collapsed="false">
      <c r="A8" s="36" t="n">
        <v>7</v>
      </c>
      <c r="B8" s="37" t="s">
        <v>25</v>
      </c>
      <c r="C8" s="37" t="s">
        <v>19</v>
      </c>
      <c r="D8" s="38" t="n">
        <v>20</v>
      </c>
      <c r="E8" s="39" t="n">
        <f aca="false">D8/D$16</f>
        <v>0.00677048070412999</v>
      </c>
    </row>
    <row r="9" customFormat="false" ht="15.75" hidden="false" customHeight="true" outlineLevel="0" collapsed="false">
      <c r="A9" s="32" t="n">
        <v>8</v>
      </c>
      <c r="B9" s="33" t="s">
        <v>26</v>
      </c>
      <c r="C9" s="33" t="s">
        <v>19</v>
      </c>
      <c r="D9" s="34" t="n">
        <v>20</v>
      </c>
      <c r="E9" s="35" t="n">
        <f aca="false">D9/D$16</f>
        <v>0.00677048070412999</v>
      </c>
    </row>
    <row r="10" customFormat="false" ht="15.75" hidden="false" customHeight="true" outlineLevel="0" collapsed="false">
      <c r="A10" s="36" t="n">
        <v>9</v>
      </c>
      <c r="B10" s="37" t="s">
        <v>27</v>
      </c>
      <c r="C10" s="37" t="s">
        <v>19</v>
      </c>
      <c r="D10" s="38" t="n">
        <v>20</v>
      </c>
      <c r="E10" s="39" t="n">
        <f aca="false">D10/D$16</f>
        <v>0.00677048070412999</v>
      </c>
    </row>
    <row r="11" customFormat="false" ht="15.75" hidden="false" customHeight="true" outlineLevel="0" collapsed="false">
      <c r="A11" s="32" t="n">
        <v>10</v>
      </c>
      <c r="B11" s="33" t="s">
        <v>28</v>
      </c>
      <c r="C11" s="33" t="s">
        <v>19</v>
      </c>
      <c r="D11" s="34" t="n">
        <v>19</v>
      </c>
      <c r="E11" s="35" t="n">
        <f aca="false">D11/D$16</f>
        <v>0.00643195666892349</v>
      </c>
    </row>
    <row r="12" customFormat="false" ht="15.75" hidden="false" customHeight="true" outlineLevel="0" collapsed="false">
      <c r="A12" s="36" t="n">
        <v>11</v>
      </c>
      <c r="B12" s="37" t="s">
        <v>29</v>
      </c>
      <c r="C12" s="37" t="s">
        <v>19</v>
      </c>
      <c r="D12" s="38" t="n">
        <v>14</v>
      </c>
      <c r="E12" s="39" t="n">
        <f aca="false">D12/D$16</f>
        <v>0.004739336492891</v>
      </c>
    </row>
    <row r="13" customFormat="false" ht="15.75" hidden="false" customHeight="true" outlineLevel="0" collapsed="false">
      <c r="A13" s="32" t="n">
        <v>12</v>
      </c>
      <c r="B13" s="33" t="s">
        <v>30</v>
      </c>
      <c r="C13" s="33" t="s">
        <v>19</v>
      </c>
      <c r="D13" s="34" t="n">
        <v>11</v>
      </c>
      <c r="E13" s="35" t="n">
        <f aca="false">D13/D$16</f>
        <v>0.0037237643872715</v>
      </c>
    </row>
    <row r="14" customFormat="false" ht="15.75" hidden="false" customHeight="true" outlineLevel="0" collapsed="false">
      <c r="A14" s="36" t="n">
        <v>13</v>
      </c>
      <c r="B14" s="37" t="s">
        <v>31</v>
      </c>
      <c r="C14" s="37" t="s">
        <v>19</v>
      </c>
      <c r="D14" s="38" t="n">
        <v>11</v>
      </c>
      <c r="E14" s="39" t="n">
        <f aca="false">D14/D$16</f>
        <v>0.0037237643872715</v>
      </c>
    </row>
    <row r="15" customFormat="false" ht="15.75" hidden="false" customHeight="true" outlineLevel="0" collapsed="false">
      <c r="A15" s="32" t="n">
        <v>14</v>
      </c>
      <c r="B15" s="33" t="s">
        <v>32</v>
      </c>
      <c r="C15" s="33" t="s">
        <v>19</v>
      </c>
      <c r="D15" s="34" t="n">
        <v>11</v>
      </c>
      <c r="E15" s="35" t="n">
        <f aca="false">D15/D$16</f>
        <v>0.0037237643872715</v>
      </c>
    </row>
    <row r="16" customFormat="false" ht="15.75" hidden="false" customHeight="true" outlineLevel="0" collapsed="false">
      <c r="A16" s="40"/>
      <c r="B16" s="40"/>
      <c r="C16" s="41" t="s">
        <v>33</v>
      </c>
      <c r="D16" s="42" t="n">
        <f aca="false">SUM(D2:D15)</f>
        <v>2954</v>
      </c>
      <c r="E16" s="43" t="n">
        <f aca="false">D16/D16</f>
        <v>1</v>
      </c>
    </row>
  </sheetData>
  <autoFilter ref="A1:E16"/>
  <conditionalFormatting sqref="E2:E15">
    <cfRule type="dataBar" priority="2">
      <dataBar showValue="1" minLength="10" maxLength="90">
        <cfvo type="num" val="0"/>
        <cfvo type="num" val="1"/>
        <color rgb="FF2E5395"/>
      </dataBar>
      <extLst>
        <ext xmlns:x14="http://schemas.microsoft.com/office/spreadsheetml/2009/9/main" uri="{B025F937-C7B1-47D3-B67F-A62EFF666E3E}">
          <x14:id>{704C1456-86F7-4511-90E1-5FA563222645}</x14:id>
        </ext>
      </extLst>
    </cfRule>
  </conditionalFormatting>
  <printOptions headings="false" gridLines="false" gridLinesSet="true" horizontalCentered="false" verticalCentered="false"/>
  <pageMargins left="0.5" right="0.5" top="0.6" bottom="0.6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4C1456-86F7-4511-90E1-5FA56322264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5395"/>
              <x14:axisColor rgb="FF000000"/>
            </x14:dataBar>
          </x14:cfRule>
          <xm:sqref>E2:E15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2026-07-07T08:54:41Z</dcterms:created>
  <dc:creator>openpyxl</dc:creator>
  <dc:description/>
  <dc:language>en-US</dc:language>
  <cp:lastModifiedBy>OPHELP Operations</cp:lastModifiedBy>
  <dcterms:modified xsi:type="dcterms:W3CDTF">2026-07-07T08:54:41Z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